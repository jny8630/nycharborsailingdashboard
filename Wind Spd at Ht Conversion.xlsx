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dimvorobyov/Documents/"/>
    </mc:Choice>
  </mc:AlternateContent>
  <xr:revisionPtr revIDLastSave="0" documentId="13_ncr:1_{473725A0-0175-2E4A-ACAE-A4B12CDE8496}" xr6:coauthVersionLast="47" xr6:coauthVersionMax="47" xr10:uidLastSave="{00000000-0000-0000-0000-000000000000}"/>
  <bookViews>
    <workbookView xWindow="2340" yWindow="1860" windowWidth="29760" windowHeight="19380" xr2:uid="{2DC03F2F-1A18-A949-BB89-E79EDB10F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E63" i="1"/>
  <c r="F63" i="1"/>
  <c r="G63" i="1"/>
  <c r="H63" i="1"/>
  <c r="I63" i="1"/>
  <c r="C63" i="1"/>
  <c r="D47" i="1"/>
  <c r="E47" i="1"/>
  <c r="F47" i="1"/>
  <c r="G47" i="1"/>
  <c r="H47" i="1"/>
  <c r="I47" i="1"/>
  <c r="C47" i="1"/>
  <c r="F25" i="1"/>
  <c r="G25" i="1"/>
  <c r="H25" i="1"/>
  <c r="H27" i="1"/>
  <c r="F28" i="1"/>
  <c r="G28" i="1"/>
  <c r="E29" i="1"/>
  <c r="C29" i="1"/>
  <c r="C30" i="1"/>
  <c r="C24" i="1"/>
  <c r="I38" i="1"/>
  <c r="C36" i="1"/>
  <c r="D35" i="1"/>
  <c r="E40" i="1" s="1"/>
  <c r="I54" i="1"/>
  <c r="C51" i="1"/>
  <c r="C21" i="1"/>
  <c r="D20" i="1"/>
  <c r="D24" i="1" s="1"/>
  <c r="C5" i="1"/>
  <c r="C52" i="1" s="1"/>
  <c r="D52" i="1" s="1"/>
  <c r="C57" i="1" s="1"/>
  <c r="J57" i="1" s="1"/>
  <c r="D4" i="1"/>
  <c r="G12" i="1" s="1"/>
  <c r="I23" i="1"/>
  <c r="I24" i="1" s="1"/>
  <c r="I7" i="1"/>
  <c r="E28" i="1" l="1"/>
  <c r="D28" i="1"/>
  <c r="H30" i="1"/>
  <c r="E32" i="1"/>
  <c r="G30" i="1"/>
  <c r="C32" i="1"/>
  <c r="F30" i="1"/>
  <c r="G27" i="1"/>
  <c r="H32" i="1"/>
  <c r="E30" i="1"/>
  <c r="F27" i="1"/>
  <c r="G32" i="1"/>
  <c r="D30" i="1"/>
  <c r="F32" i="1"/>
  <c r="C39" i="1"/>
  <c r="J39" i="1" s="1"/>
  <c r="I29" i="1"/>
  <c r="D27" i="1"/>
  <c r="H44" i="1"/>
  <c r="K44" i="1" s="1"/>
  <c r="H29" i="1"/>
  <c r="E26" i="1"/>
  <c r="D32" i="1"/>
  <c r="E25" i="1"/>
  <c r="D25" i="1"/>
  <c r="I27" i="1"/>
  <c r="E27" i="1"/>
  <c r="F42" i="1"/>
  <c r="G29" i="1"/>
  <c r="D26" i="1"/>
  <c r="I32" i="1"/>
  <c r="C28" i="1"/>
  <c r="I30" i="1"/>
  <c r="H24" i="1"/>
  <c r="D40" i="1"/>
  <c r="F29" i="1"/>
  <c r="I25" i="1"/>
  <c r="L25" i="1" s="1"/>
  <c r="I16" i="1"/>
  <c r="C45" i="1"/>
  <c r="J45" i="1" s="1"/>
  <c r="E42" i="1"/>
  <c r="D42" i="1"/>
  <c r="E44" i="1"/>
  <c r="G39" i="1"/>
  <c r="D44" i="1"/>
  <c r="F39" i="1"/>
  <c r="I43" i="1"/>
  <c r="L43" i="1" s="1"/>
  <c r="C40" i="1"/>
  <c r="J40" i="1" s="1"/>
  <c r="F41" i="1"/>
  <c r="I45" i="1"/>
  <c r="L45" i="1" s="1"/>
  <c r="G43" i="1"/>
  <c r="E41" i="1"/>
  <c r="F43" i="1"/>
  <c r="F45" i="1"/>
  <c r="H40" i="1"/>
  <c r="K40" i="1" s="1"/>
  <c r="I26" i="1"/>
  <c r="G24" i="1"/>
  <c r="I42" i="1"/>
  <c r="L42" i="1" s="1"/>
  <c r="C27" i="1"/>
  <c r="J27" i="1" s="1"/>
  <c r="F24" i="1"/>
  <c r="D45" i="1"/>
  <c r="H42" i="1"/>
  <c r="K42" i="1" s="1"/>
  <c r="F40" i="1"/>
  <c r="C26" i="1"/>
  <c r="J26" i="1" s="1"/>
  <c r="I28" i="1"/>
  <c r="L28" i="1" s="1"/>
  <c r="G26" i="1"/>
  <c r="E24" i="1"/>
  <c r="G44" i="1"/>
  <c r="I39" i="1"/>
  <c r="L39" i="1" s="1"/>
  <c r="C44" i="1"/>
  <c r="J44" i="1" s="1"/>
  <c r="F44" i="1"/>
  <c r="H39" i="1"/>
  <c r="K39" i="1" s="1"/>
  <c r="C43" i="1"/>
  <c r="J43" i="1" s="1"/>
  <c r="I41" i="1"/>
  <c r="L41" i="1" s="1"/>
  <c r="C42" i="1"/>
  <c r="J42" i="1" s="1"/>
  <c r="H41" i="1"/>
  <c r="K41" i="1" s="1"/>
  <c r="C41" i="1"/>
  <c r="J41" i="1" s="1"/>
  <c r="G41" i="1"/>
  <c r="E39" i="1"/>
  <c r="H43" i="1"/>
  <c r="K43" i="1" s="1"/>
  <c r="D39" i="1"/>
  <c r="H45" i="1"/>
  <c r="K45" i="1" s="1"/>
  <c r="D41" i="1"/>
  <c r="G45" i="1"/>
  <c r="E43" i="1"/>
  <c r="I40" i="1"/>
  <c r="L40" i="1" s="1"/>
  <c r="D43" i="1"/>
  <c r="E45" i="1"/>
  <c r="G40" i="1"/>
  <c r="D29" i="1"/>
  <c r="H26" i="1"/>
  <c r="K26" i="1" s="1"/>
  <c r="I44" i="1"/>
  <c r="L44" i="1" s="1"/>
  <c r="G42" i="1"/>
  <c r="C25" i="1"/>
  <c r="J25" i="1" s="1"/>
  <c r="H28" i="1"/>
  <c r="K28" i="1" s="1"/>
  <c r="F26" i="1"/>
  <c r="G61" i="1"/>
  <c r="G8" i="1"/>
  <c r="D11" i="1"/>
  <c r="L26" i="1"/>
  <c r="J29" i="1"/>
  <c r="K25" i="1"/>
  <c r="I56" i="1"/>
  <c r="E59" i="1"/>
  <c r="H10" i="1"/>
  <c r="K10" i="1" s="1"/>
  <c r="C11" i="1"/>
  <c r="J11" i="1" s="1"/>
  <c r="C59" i="1"/>
  <c r="J59" i="1" s="1"/>
  <c r="F56" i="1"/>
  <c r="H14" i="1"/>
  <c r="K14" i="1" s="1"/>
  <c r="G58" i="1"/>
  <c r="H60" i="1"/>
  <c r="K60" i="1" s="1"/>
  <c r="F13" i="1"/>
  <c r="E58" i="1"/>
  <c r="K30" i="1"/>
  <c r="I59" i="1"/>
  <c r="L59" i="1" s="1"/>
  <c r="E55" i="1"/>
  <c r="H59" i="1"/>
  <c r="K59" i="1" s="1"/>
  <c r="F57" i="1"/>
  <c r="I58" i="1"/>
  <c r="L58" i="1" s="1"/>
  <c r="F61" i="1"/>
  <c r="D59" i="1"/>
  <c r="H56" i="1"/>
  <c r="K56" i="1" s="1"/>
  <c r="E8" i="1"/>
  <c r="L29" i="1"/>
  <c r="G56" i="1"/>
  <c r="G10" i="1"/>
  <c r="H58" i="1"/>
  <c r="K58" i="1" s="1"/>
  <c r="L27" i="1"/>
  <c r="E56" i="1"/>
  <c r="E10" i="1"/>
  <c r="F58" i="1"/>
  <c r="G60" i="1"/>
  <c r="E13" i="1"/>
  <c r="K27" i="1"/>
  <c r="C55" i="1"/>
  <c r="J55" i="1" s="1"/>
  <c r="F60" i="1"/>
  <c r="D58" i="1"/>
  <c r="I55" i="1"/>
  <c r="L55" i="1" s="1"/>
  <c r="D13" i="1"/>
  <c r="E60" i="1"/>
  <c r="I61" i="1"/>
  <c r="L61" i="1" s="1"/>
  <c r="G55" i="1"/>
  <c r="D60" i="1"/>
  <c r="I60" i="1"/>
  <c r="L60" i="1" s="1"/>
  <c r="F55" i="1"/>
  <c r="G57" i="1"/>
  <c r="C8" i="1"/>
  <c r="J8" i="1" s="1"/>
  <c r="F12" i="1"/>
  <c r="J30" i="1"/>
  <c r="D55" i="1"/>
  <c r="G59" i="1"/>
  <c r="E57" i="1"/>
  <c r="I57" i="1"/>
  <c r="L57" i="1" s="1"/>
  <c r="F8" i="1"/>
  <c r="E61" i="1"/>
  <c r="D8" i="1"/>
  <c r="D61" i="1"/>
  <c r="F10" i="1"/>
  <c r="C61" i="1"/>
  <c r="J61" i="1" s="1"/>
  <c r="G14" i="1"/>
  <c r="D56" i="1"/>
  <c r="D10" i="1"/>
  <c r="J28" i="1"/>
  <c r="C56" i="1"/>
  <c r="J56" i="1" s="1"/>
  <c r="C10" i="1"/>
  <c r="J10" i="1" s="1"/>
  <c r="I13" i="1"/>
  <c r="L13" i="1" s="1"/>
  <c r="H55" i="1"/>
  <c r="K55" i="1" s="1"/>
  <c r="C58" i="1"/>
  <c r="J58" i="1" s="1"/>
  <c r="C13" i="1"/>
  <c r="J13" i="1" s="1"/>
  <c r="H57" i="1"/>
  <c r="K57" i="1" s="1"/>
  <c r="H12" i="1"/>
  <c r="K12" i="1" s="1"/>
  <c r="C60" i="1"/>
  <c r="J60" i="1" s="1"/>
  <c r="H8" i="1"/>
  <c r="K8" i="1" s="1"/>
  <c r="E12" i="1"/>
  <c r="K29" i="1"/>
  <c r="H61" i="1"/>
  <c r="K61" i="1" s="1"/>
  <c r="F59" i="1"/>
  <c r="D57" i="1"/>
  <c r="I8" i="1"/>
  <c r="L8" i="1" s="1"/>
  <c r="I14" i="1"/>
  <c r="L14" i="1" s="1"/>
  <c r="I12" i="1"/>
  <c r="L12" i="1" s="1"/>
  <c r="E16" i="1"/>
  <c r="H9" i="1"/>
  <c r="K9" i="1" s="1"/>
  <c r="C12" i="1"/>
  <c r="J12" i="1" s="1"/>
  <c r="G16" i="1"/>
  <c r="G11" i="1"/>
  <c r="J24" i="1"/>
  <c r="I11" i="1"/>
  <c r="L11" i="1" s="1"/>
  <c r="I10" i="1"/>
  <c r="L10" i="1" s="1"/>
  <c r="I9" i="1"/>
  <c r="L9" i="1" s="1"/>
  <c r="L24" i="1"/>
  <c r="D12" i="1"/>
  <c r="H16" i="1"/>
  <c r="G9" i="1"/>
  <c r="D14" i="1"/>
  <c r="H11" i="1"/>
  <c r="K11" i="1" s="1"/>
  <c r="F9" i="1"/>
  <c r="F16" i="1"/>
  <c r="C14" i="1"/>
  <c r="J14" i="1" s="1"/>
  <c r="E9" i="1"/>
  <c r="C16" i="1"/>
  <c r="H13" i="1"/>
  <c r="K13" i="1" s="1"/>
  <c r="F11" i="1"/>
  <c r="D9" i="1"/>
  <c r="K24" i="1"/>
  <c r="L30" i="1"/>
  <c r="F14" i="1"/>
  <c r="E14" i="1"/>
  <c r="D16" i="1"/>
  <c r="G13" i="1"/>
  <c r="E11" i="1"/>
  <c r="C9" i="1"/>
  <c r="J9" i="1" s="1"/>
  <c r="L56" i="1"/>
</calcChain>
</file>

<file path=xl/sharedStrings.xml><?xml version="1.0" encoding="utf-8"?>
<sst xmlns="http://schemas.openxmlformats.org/spreadsheetml/2006/main" count="33" uniqueCount="14">
  <si>
    <t>Target Ht</t>
  </si>
  <si>
    <t>ft</t>
  </si>
  <si>
    <t>m</t>
  </si>
  <si>
    <t>ft/m</t>
  </si>
  <si>
    <t>10m</t>
  </si>
  <si>
    <t>RR Wind Sensor Ht</t>
  </si>
  <si>
    <t>10m to 2m</t>
  </si>
  <si>
    <t>RR to 10m</t>
  </si>
  <si>
    <t>RR to 2m</t>
  </si>
  <si>
    <t>min</t>
  </si>
  <si>
    <t>max</t>
  </si>
  <si>
    <t>ave.</t>
  </si>
  <si>
    <t>ave</t>
  </si>
  <si>
    <t>10m to 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</si>
</sst>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  <numFmt numFmtId="166" formatCode="0.0%"/>
    <numFmt numFmtId="167" formatCode="0.0000"/>
  </numFmts>
  <fonts count="7">
    <font>
      <sz val="11"/>
      <color theme="1"/>
      <name val="Helvetica"/>
      <family val="2"/>
    </font>
    <font>
      <sz val="11"/>
      <color theme="1"/>
      <name val="Helvetica"/>
      <family val="2"/>
    </font>
    <font>
      <u val="singleAccounting"/>
      <sz val="11"/>
      <color theme="1"/>
      <name val="Helvetica"/>
      <family val="2"/>
    </font>
    <font>
      <i/>
      <sz val="11"/>
      <color theme="1"/>
      <name val="Helvetica"/>
      <family val="2"/>
    </font>
    <font>
      <u/>
      <sz val="11"/>
      <color theme="1"/>
      <name val="Helvetica"/>
      <family val="2"/>
    </font>
    <font>
      <b/>
      <u/>
      <sz val="11"/>
      <color theme="1"/>
      <name val="Helvetica"/>
      <family val="2"/>
    </font>
    <font>
      <b/>
      <i/>
      <u/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 applyAlignment="1">
      <alignment horizontal="right"/>
    </xf>
    <xf numFmtId="43" fontId="2" fillId="0" borderId="0" xfId="1" applyFon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167" fontId="0" fillId="0" borderId="0" xfId="0" applyNumberFormat="1"/>
    <xf numFmtId="43" fontId="2" fillId="0" borderId="0" xfId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166" fontId="3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505884</xdr:colOff>
      <xdr:row>0</xdr:row>
      <xdr:rowOff>135464</xdr:rowOff>
    </xdr:from>
    <xdr:ext cx="2912534" cy="962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5823CB-00B4-FFBC-D2A2-1837CBAF9938}"/>
                </a:ext>
              </a:extLst>
            </xdr:cNvPr>
            <xdr:cNvSpPr txBox="1"/>
          </xdr:nvSpPr>
          <xdr:spPr>
            <a:xfrm>
              <a:off x="7109884" y="135464"/>
              <a:ext cx="2912534" cy="9621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91440" rIns="0" bIns="9144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2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400" b="0" i="1">
                                    <a:latin typeface="Cambria Math" panose="02040503050406030204" pitchFamily="18" charset="0"/>
                                  </a:rPr>
                                  <m:t>𝐻</m:t>
                                </m:r>
                              </m:num>
                              <m:den>
                                <m:r>
                                  <a:rPr lang="en-US" sz="2400" b="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0.135</m:t>
                        </m:r>
                      </m:sup>
                    </m:sSup>
                  </m:oMath>
                </m:oMathPara>
              </a14:m>
              <a:endParaRPr lang="en-US" sz="2400">
                <a:latin typeface="Helvetica" pitchFamily="2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5823CB-00B4-FFBC-D2A2-1837CBAF9938}"/>
                </a:ext>
              </a:extLst>
            </xdr:cNvPr>
            <xdr:cNvSpPr txBox="1"/>
          </xdr:nvSpPr>
          <xdr:spPr>
            <a:xfrm>
              <a:off x="7109884" y="135464"/>
              <a:ext cx="2912534" cy="9621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91440" rIns="0" bIns="9144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𝑉_𝐻=𝑉_10𝑚 (𝐻/10)^0.135</a:t>
              </a:r>
              <a:endParaRPr lang="en-US" sz="2400">
                <a:latin typeface="Helvetica" pitchFamily="2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0607-5298-E94C-89D2-10F7849FA39B}">
  <dimension ref="A3:L63"/>
  <sheetViews>
    <sheetView tabSelected="1" topLeftCell="A23" zoomScale="120" zoomScaleNormal="120" workbookViewId="0">
      <selection activeCell="J16" sqref="J16"/>
    </sheetView>
  </sheetViews>
  <sheetFormatPr baseColWidth="10" defaultRowHeight="15"/>
  <sheetData>
    <row r="3" spans="1:12" ht="18">
      <c r="A3" s="8" t="s">
        <v>8</v>
      </c>
      <c r="C3" s="2" t="s">
        <v>1</v>
      </c>
      <c r="D3" s="2" t="s">
        <v>2</v>
      </c>
    </row>
    <row r="4" spans="1:12">
      <c r="B4" s="1" t="s">
        <v>5</v>
      </c>
      <c r="C4" s="4">
        <v>69</v>
      </c>
      <c r="D4" s="4">
        <f>C4/$G$4</f>
        <v>21.030173727522097</v>
      </c>
      <c r="F4" s="1" t="s">
        <v>3</v>
      </c>
      <c r="G4">
        <v>3.2810000000000001</v>
      </c>
    </row>
    <row r="5" spans="1:12">
      <c r="B5" s="1" t="s">
        <v>0</v>
      </c>
      <c r="C5" s="4">
        <f>D5*$G$4</f>
        <v>6.5620000000000003</v>
      </c>
      <c r="D5" s="4">
        <v>2</v>
      </c>
    </row>
    <row r="7" spans="1:12" ht="18">
      <c r="C7" s="9">
        <v>0.11</v>
      </c>
      <c r="D7" s="9">
        <v>0.12</v>
      </c>
      <c r="E7" s="9">
        <v>0.13</v>
      </c>
      <c r="F7" s="9">
        <v>0.14000000000000001</v>
      </c>
      <c r="G7" s="9">
        <v>0.15</v>
      </c>
      <c r="H7" s="9">
        <v>0.16</v>
      </c>
      <c r="I7" s="13">
        <f>AVERAGE(C7:H7)</f>
        <v>0.13500000000000001</v>
      </c>
      <c r="J7" s="2" t="s">
        <v>9</v>
      </c>
      <c r="K7" s="2" t="s">
        <v>10</v>
      </c>
      <c r="L7" s="2" t="s">
        <v>12</v>
      </c>
    </row>
    <row r="8" spans="1:12">
      <c r="B8" s="3">
        <v>5</v>
      </c>
      <c r="C8" s="5">
        <f>$B8*($D$5/$D$4)^C$7</f>
        <v>3.8598514362876717</v>
      </c>
      <c r="D8" s="5">
        <f t="shared" ref="D8:I14" si="0">$B8*($D$5/$D$4)^D$7</f>
        <v>3.7700964475119476</v>
      </c>
      <c r="E8" s="5">
        <f t="shared" si="0"/>
        <v>3.6824285748190837</v>
      </c>
      <c r="F8" s="5">
        <f t="shared" si="0"/>
        <v>3.5967992854912594</v>
      </c>
      <c r="G8" s="5">
        <f t="shared" si="0"/>
        <v>3.5131611753653695</v>
      </c>
      <c r="H8" s="5">
        <f t="shared" si="0"/>
        <v>3.4314679425901979</v>
      </c>
      <c r="I8" s="6">
        <f t="shared" si="0"/>
        <v>3.6393620961346889</v>
      </c>
      <c r="J8" s="11">
        <f>C8/B8</f>
        <v>0.77197028725753436</v>
      </c>
      <c r="K8" s="11">
        <f t="shared" ref="K8:K14" si="1">H8/B8</f>
        <v>0.68629358851803957</v>
      </c>
      <c r="L8" s="11">
        <f t="shared" ref="L8:L14" si="2">I8/B8</f>
        <v>0.72787241922693779</v>
      </c>
    </row>
    <row r="9" spans="1:12">
      <c r="B9" s="3">
        <v>10</v>
      </c>
      <c r="C9" s="5">
        <f t="shared" ref="C9:C14" si="3">$B9*($D$5/$D$4)^C$7</f>
        <v>7.7197028725753434</v>
      </c>
      <c r="D9" s="5">
        <f t="shared" si="0"/>
        <v>7.5401928950238952</v>
      </c>
      <c r="E9" s="5">
        <f t="shared" si="0"/>
        <v>7.3648571496381674</v>
      </c>
      <c r="F9" s="5">
        <f t="shared" si="0"/>
        <v>7.1935985709825188</v>
      </c>
      <c r="G9" s="5">
        <f t="shared" si="0"/>
        <v>7.0263223507307391</v>
      </c>
      <c r="H9" s="5">
        <f t="shared" si="0"/>
        <v>6.8629358851803959</v>
      </c>
      <c r="I9" s="6">
        <f t="shared" si="0"/>
        <v>7.2787241922693777</v>
      </c>
      <c r="J9" s="11">
        <f t="shared" ref="J9:J14" si="4">C9/B9</f>
        <v>0.77197028725753436</v>
      </c>
      <c r="K9" s="11">
        <f t="shared" si="1"/>
        <v>0.68629358851803957</v>
      </c>
      <c r="L9" s="11">
        <f t="shared" si="2"/>
        <v>0.72787241922693779</v>
      </c>
    </row>
    <row r="10" spans="1:12">
      <c r="B10" s="3">
        <v>15</v>
      </c>
      <c r="C10" s="5">
        <f t="shared" si="3"/>
        <v>11.579554308863015</v>
      </c>
      <c r="D10" s="5">
        <f t="shared" si="0"/>
        <v>11.310289342535842</v>
      </c>
      <c r="E10" s="5">
        <f t="shared" si="0"/>
        <v>11.047285724457252</v>
      </c>
      <c r="F10" s="5">
        <f t="shared" si="0"/>
        <v>10.790397856473778</v>
      </c>
      <c r="G10" s="5">
        <f t="shared" si="0"/>
        <v>10.53948352609611</v>
      </c>
      <c r="H10" s="5">
        <f t="shared" si="0"/>
        <v>10.294403827770594</v>
      </c>
      <c r="I10" s="6">
        <f t="shared" si="0"/>
        <v>10.918086288404067</v>
      </c>
      <c r="J10" s="11">
        <f t="shared" si="4"/>
        <v>0.77197028725753436</v>
      </c>
      <c r="K10" s="11">
        <f t="shared" si="1"/>
        <v>0.68629358851803957</v>
      </c>
      <c r="L10" s="11">
        <f t="shared" si="2"/>
        <v>0.72787241922693779</v>
      </c>
    </row>
    <row r="11" spans="1:12">
      <c r="B11" s="3">
        <v>20</v>
      </c>
      <c r="C11" s="5">
        <f t="shared" si="3"/>
        <v>15.439405745150687</v>
      </c>
      <c r="D11" s="5">
        <f t="shared" si="0"/>
        <v>15.08038579004779</v>
      </c>
      <c r="E11" s="5">
        <f t="shared" si="0"/>
        <v>14.729714299276335</v>
      </c>
      <c r="F11" s="5">
        <f t="shared" si="0"/>
        <v>14.387197141965038</v>
      </c>
      <c r="G11" s="5">
        <f t="shared" si="0"/>
        <v>14.052644701461478</v>
      </c>
      <c r="H11" s="5">
        <f t="shared" si="0"/>
        <v>13.725871770360792</v>
      </c>
      <c r="I11" s="6">
        <f t="shared" si="0"/>
        <v>14.557448384538755</v>
      </c>
      <c r="J11" s="11">
        <f t="shared" si="4"/>
        <v>0.77197028725753436</v>
      </c>
      <c r="K11" s="11">
        <f t="shared" si="1"/>
        <v>0.68629358851803957</v>
      </c>
      <c r="L11" s="11">
        <f t="shared" si="2"/>
        <v>0.72787241922693779</v>
      </c>
    </row>
    <row r="12" spans="1:12">
      <c r="B12" s="3">
        <v>25</v>
      </c>
      <c r="C12" s="5">
        <f t="shared" si="3"/>
        <v>19.29925718143836</v>
      </c>
      <c r="D12" s="5">
        <f t="shared" si="0"/>
        <v>18.850482237559739</v>
      </c>
      <c r="E12" s="5">
        <f t="shared" si="0"/>
        <v>18.412142874095419</v>
      </c>
      <c r="F12" s="5">
        <f t="shared" si="0"/>
        <v>17.983996427456297</v>
      </c>
      <c r="G12" s="5">
        <f t="shared" si="0"/>
        <v>17.565805876826847</v>
      </c>
      <c r="H12" s="5">
        <f t="shared" si="0"/>
        <v>17.157339712950989</v>
      </c>
      <c r="I12" s="6">
        <f t="shared" si="0"/>
        <v>18.196810480673445</v>
      </c>
      <c r="J12" s="11">
        <f t="shared" si="4"/>
        <v>0.77197028725753436</v>
      </c>
      <c r="K12" s="11">
        <f t="shared" si="1"/>
        <v>0.68629358851803957</v>
      </c>
      <c r="L12" s="11">
        <f t="shared" si="2"/>
        <v>0.72787241922693779</v>
      </c>
    </row>
    <row r="13" spans="1:12">
      <c r="B13" s="3">
        <v>30</v>
      </c>
      <c r="C13" s="5">
        <f t="shared" si="3"/>
        <v>23.15910861772603</v>
      </c>
      <c r="D13" s="5">
        <f t="shared" si="0"/>
        <v>22.620578685071685</v>
      </c>
      <c r="E13" s="5">
        <f t="shared" si="0"/>
        <v>22.094571448914504</v>
      </c>
      <c r="F13" s="5">
        <f t="shared" si="0"/>
        <v>21.580795712947555</v>
      </c>
      <c r="G13" s="5">
        <f t="shared" si="0"/>
        <v>21.078967052192219</v>
      </c>
      <c r="H13" s="5">
        <f t="shared" si="0"/>
        <v>20.588807655541189</v>
      </c>
      <c r="I13" s="6">
        <f t="shared" si="0"/>
        <v>21.836172576808135</v>
      </c>
      <c r="J13" s="11">
        <f t="shared" si="4"/>
        <v>0.77197028725753436</v>
      </c>
      <c r="K13" s="11">
        <f t="shared" si="1"/>
        <v>0.68629358851803957</v>
      </c>
      <c r="L13" s="11">
        <f t="shared" si="2"/>
        <v>0.72787241922693779</v>
      </c>
    </row>
    <row r="14" spans="1:12">
      <c r="B14" s="3">
        <v>35</v>
      </c>
      <c r="C14" s="5">
        <f t="shared" si="3"/>
        <v>27.018960054013704</v>
      </c>
      <c r="D14" s="5">
        <f t="shared" si="0"/>
        <v>26.390675132583631</v>
      </c>
      <c r="E14" s="5">
        <f t="shared" si="0"/>
        <v>25.777000023733585</v>
      </c>
      <c r="F14" s="5">
        <f t="shared" si="0"/>
        <v>25.177594998438817</v>
      </c>
      <c r="G14" s="5">
        <f t="shared" si="0"/>
        <v>24.592128227557588</v>
      </c>
      <c r="H14" s="5">
        <f t="shared" si="0"/>
        <v>24.020275598131384</v>
      </c>
      <c r="I14" s="6">
        <f t="shared" si="0"/>
        <v>25.475534672942821</v>
      </c>
      <c r="J14" s="11">
        <f t="shared" si="4"/>
        <v>0.77197028725753436</v>
      </c>
      <c r="K14" s="11">
        <f t="shared" si="1"/>
        <v>0.68629358851803957</v>
      </c>
      <c r="L14" s="11">
        <f t="shared" si="2"/>
        <v>0.72787241922693779</v>
      </c>
    </row>
    <row r="15" spans="1:12">
      <c r="I15" s="14"/>
    </row>
    <row r="16" spans="1:12">
      <c r="C16" s="11">
        <f t="shared" ref="C16:D16" si="5">($D$5/$D$4)^C$7</f>
        <v>0.77197028725753436</v>
      </c>
      <c r="D16" s="11">
        <f t="shared" si="5"/>
        <v>0.7540192895023895</v>
      </c>
      <c r="E16" s="11">
        <f>($D$5/$D$4)^E$7</f>
        <v>0.73648571496381676</v>
      </c>
      <c r="F16" s="11">
        <f t="shared" ref="F16:I16" si="6">($D$5/$D$4)^F$7</f>
        <v>0.7193598570982519</v>
      </c>
      <c r="G16" s="11">
        <f t="shared" si="6"/>
        <v>0.70263223507307393</v>
      </c>
      <c r="H16" s="11">
        <f t="shared" si="6"/>
        <v>0.68629358851803957</v>
      </c>
      <c r="I16" s="15">
        <f t="shared" si="6"/>
        <v>0.72787241922693779</v>
      </c>
    </row>
    <row r="19" spans="1:12" ht="18">
      <c r="A19" s="8" t="s">
        <v>7</v>
      </c>
      <c r="C19" s="2" t="s">
        <v>1</v>
      </c>
      <c r="D19" s="2" t="s">
        <v>2</v>
      </c>
    </row>
    <row r="20" spans="1:12">
      <c r="B20" s="1" t="s">
        <v>5</v>
      </c>
      <c r="C20" s="4">
        <v>69</v>
      </c>
      <c r="D20" s="4">
        <f>C20/$G$4</f>
        <v>21.030173727522097</v>
      </c>
    </row>
    <row r="21" spans="1:12">
      <c r="B21" s="1" t="s">
        <v>4</v>
      </c>
      <c r="C21" s="4">
        <f>D21*$G$4</f>
        <v>32.81</v>
      </c>
      <c r="D21" s="4">
        <v>10</v>
      </c>
    </row>
    <row r="23" spans="1:12" ht="18">
      <c r="C23" s="9">
        <v>0.11</v>
      </c>
      <c r="D23" s="9">
        <v>0.12</v>
      </c>
      <c r="E23" s="9">
        <v>0.13</v>
      </c>
      <c r="F23" s="9">
        <v>0.14000000000000001</v>
      </c>
      <c r="G23" s="9">
        <v>0.15</v>
      </c>
      <c r="H23" s="9">
        <v>0.16</v>
      </c>
      <c r="I23" s="13">
        <f>AVERAGE(C23:H23)</f>
        <v>0.13500000000000001</v>
      </c>
      <c r="J23" s="2" t="s">
        <v>9</v>
      </c>
      <c r="K23" s="2" t="s">
        <v>10</v>
      </c>
      <c r="L23" s="2" t="s">
        <v>11</v>
      </c>
    </row>
    <row r="24" spans="1:12">
      <c r="B24" s="3">
        <v>5</v>
      </c>
      <c r="C24" s="5">
        <f>$B24*($D$21/$D$20)^C$23</f>
        <v>4.6074145525558574</v>
      </c>
      <c r="D24" s="5">
        <f t="shared" ref="D24:I24" si="7">$B24*($D$21/$D$20)^D$23</f>
        <v>4.5732912583551402</v>
      </c>
      <c r="E24" s="5">
        <f t="shared" si="7"/>
        <v>4.5394206870630791</v>
      </c>
      <c r="F24" s="5">
        <f t="shared" si="7"/>
        <v>4.5058009669709174</v>
      </c>
      <c r="G24" s="5">
        <f t="shared" si="7"/>
        <v>4.472430240232093</v>
      </c>
      <c r="H24" s="5">
        <f t="shared" si="7"/>
        <v>4.4393066627595674</v>
      </c>
      <c r="I24" s="6">
        <f t="shared" si="7"/>
        <v>4.522579587056109</v>
      </c>
      <c r="J24" s="11">
        <f>C24/B24</f>
        <v>0.92148291051117148</v>
      </c>
      <c r="K24" s="11">
        <f t="shared" ref="K24:K30" si="8">H24/B24</f>
        <v>0.88786133255191346</v>
      </c>
      <c r="L24" s="11">
        <f t="shared" ref="L24:L30" si="9">I24/B24</f>
        <v>0.90451591741122184</v>
      </c>
    </row>
    <row r="25" spans="1:12">
      <c r="B25" s="3">
        <v>10</v>
      </c>
      <c r="C25" s="5">
        <f t="shared" ref="C25:I30" si="10">$B25*($D$21/$D$20)^C$23</f>
        <v>9.2148291051117148</v>
      </c>
      <c r="D25" s="5">
        <f t="shared" si="10"/>
        <v>9.1465825167102803</v>
      </c>
      <c r="E25" s="5">
        <f t="shared" si="10"/>
        <v>9.0788413741261582</v>
      </c>
      <c r="F25" s="5">
        <f t="shared" si="10"/>
        <v>9.0116019339418347</v>
      </c>
      <c r="G25" s="5">
        <f t="shared" si="10"/>
        <v>8.944860480464186</v>
      </c>
      <c r="H25" s="5">
        <f t="shared" si="10"/>
        <v>8.8786133255191348</v>
      </c>
      <c r="I25" s="6">
        <f t="shared" si="10"/>
        <v>9.0451591741122179</v>
      </c>
      <c r="J25" s="11">
        <f t="shared" ref="J25:J30" si="11">C25/B25</f>
        <v>0.92148291051117148</v>
      </c>
      <c r="K25" s="11">
        <f t="shared" si="8"/>
        <v>0.88786133255191346</v>
      </c>
      <c r="L25" s="11">
        <f t="shared" si="9"/>
        <v>0.90451591741122184</v>
      </c>
    </row>
    <row r="26" spans="1:12">
      <c r="B26" s="3">
        <v>15</v>
      </c>
      <c r="C26" s="5">
        <f t="shared" si="10"/>
        <v>13.822243657667572</v>
      </c>
      <c r="D26" s="5">
        <f t="shared" si="10"/>
        <v>13.71987377506542</v>
      </c>
      <c r="E26" s="5">
        <f t="shared" si="10"/>
        <v>13.618262061189236</v>
      </c>
      <c r="F26" s="5">
        <f t="shared" si="10"/>
        <v>13.517402900912753</v>
      </c>
      <c r="G26" s="5">
        <f t="shared" si="10"/>
        <v>13.417290720696279</v>
      </c>
      <c r="H26" s="5">
        <f t="shared" si="10"/>
        <v>13.317919988278701</v>
      </c>
      <c r="I26" s="6">
        <f t="shared" si="10"/>
        <v>13.567738761168327</v>
      </c>
      <c r="J26" s="11">
        <f t="shared" si="11"/>
        <v>0.92148291051117148</v>
      </c>
      <c r="K26" s="11">
        <f t="shared" si="8"/>
        <v>0.88786133255191346</v>
      </c>
      <c r="L26" s="11">
        <f t="shared" si="9"/>
        <v>0.90451591741122184</v>
      </c>
    </row>
    <row r="27" spans="1:12">
      <c r="B27" s="3">
        <v>20</v>
      </c>
      <c r="C27" s="5">
        <f t="shared" si="10"/>
        <v>18.42965821022343</v>
      </c>
      <c r="D27" s="5">
        <f t="shared" si="10"/>
        <v>18.293165033420561</v>
      </c>
      <c r="E27" s="5">
        <f t="shared" si="10"/>
        <v>18.157682748252316</v>
      </c>
      <c r="F27" s="5">
        <f t="shared" si="10"/>
        <v>18.023203867883669</v>
      </c>
      <c r="G27" s="5">
        <f t="shared" si="10"/>
        <v>17.889720960928372</v>
      </c>
      <c r="H27" s="5">
        <f t="shared" si="10"/>
        <v>17.75722665103827</v>
      </c>
      <c r="I27" s="6">
        <f t="shared" si="10"/>
        <v>18.090318348224436</v>
      </c>
      <c r="J27" s="11">
        <f t="shared" si="11"/>
        <v>0.92148291051117148</v>
      </c>
      <c r="K27" s="11">
        <f t="shared" si="8"/>
        <v>0.88786133255191346</v>
      </c>
      <c r="L27" s="11">
        <f t="shared" si="9"/>
        <v>0.90451591741122184</v>
      </c>
    </row>
    <row r="28" spans="1:12">
      <c r="B28" s="3">
        <v>25</v>
      </c>
      <c r="C28" s="5">
        <f t="shared" si="10"/>
        <v>23.037072762779289</v>
      </c>
      <c r="D28" s="5">
        <f t="shared" si="10"/>
        <v>22.866456291775698</v>
      </c>
      <c r="E28" s="5">
        <f t="shared" si="10"/>
        <v>22.697103435315395</v>
      </c>
      <c r="F28" s="5">
        <f t="shared" si="10"/>
        <v>22.529004834854589</v>
      </c>
      <c r="G28" s="5">
        <f t="shared" si="10"/>
        <v>22.362151201160465</v>
      </c>
      <c r="H28" s="5">
        <f t="shared" si="10"/>
        <v>22.196533313797836</v>
      </c>
      <c r="I28" s="6">
        <f t="shared" si="10"/>
        <v>22.612897935280547</v>
      </c>
      <c r="J28" s="11">
        <f t="shared" si="11"/>
        <v>0.92148291051117159</v>
      </c>
      <c r="K28" s="11">
        <f t="shared" si="8"/>
        <v>0.88786133255191346</v>
      </c>
      <c r="L28" s="11">
        <f t="shared" si="9"/>
        <v>0.90451591741122184</v>
      </c>
    </row>
    <row r="29" spans="1:12">
      <c r="B29" s="3">
        <v>30</v>
      </c>
      <c r="C29" s="5">
        <f t="shared" si="10"/>
        <v>27.644487315335144</v>
      </c>
      <c r="D29" s="5">
        <f t="shared" si="10"/>
        <v>27.439747550130839</v>
      </c>
      <c r="E29" s="5">
        <f t="shared" si="10"/>
        <v>27.236524122378473</v>
      </c>
      <c r="F29" s="5">
        <f t="shared" si="10"/>
        <v>27.034805801825506</v>
      </c>
      <c r="G29" s="5">
        <f t="shared" si="10"/>
        <v>26.834581441392558</v>
      </c>
      <c r="H29" s="5">
        <f t="shared" si="10"/>
        <v>26.635839976557403</v>
      </c>
      <c r="I29" s="6">
        <f t="shared" si="10"/>
        <v>27.135477522336654</v>
      </c>
      <c r="J29" s="11">
        <f t="shared" si="11"/>
        <v>0.92148291051117148</v>
      </c>
      <c r="K29" s="11">
        <f t="shared" si="8"/>
        <v>0.88786133255191346</v>
      </c>
      <c r="L29" s="11">
        <f t="shared" si="9"/>
        <v>0.90451591741122184</v>
      </c>
    </row>
    <row r="30" spans="1:12">
      <c r="B30" s="3">
        <v>35</v>
      </c>
      <c r="C30" s="5">
        <f t="shared" si="10"/>
        <v>32.251901867891</v>
      </c>
      <c r="D30" s="5">
        <f t="shared" si="10"/>
        <v>32.01303880848598</v>
      </c>
      <c r="E30" s="5">
        <f t="shared" si="10"/>
        <v>31.775944809441551</v>
      </c>
      <c r="F30" s="5">
        <f t="shared" si="10"/>
        <v>31.540606768796422</v>
      </c>
      <c r="G30" s="5">
        <f t="shared" si="10"/>
        <v>31.307011681624651</v>
      </c>
      <c r="H30" s="5">
        <f t="shared" si="10"/>
        <v>31.075146639316973</v>
      </c>
      <c r="I30" s="6">
        <f t="shared" si="10"/>
        <v>31.658057109392765</v>
      </c>
      <c r="J30" s="11">
        <f t="shared" si="11"/>
        <v>0.92148291051117148</v>
      </c>
      <c r="K30" s="11">
        <f t="shared" si="8"/>
        <v>0.88786133255191346</v>
      </c>
      <c r="L30" s="11">
        <f t="shared" si="9"/>
        <v>0.90451591741122184</v>
      </c>
    </row>
    <row r="31" spans="1:12">
      <c r="B31" s="3"/>
      <c r="C31" s="5"/>
      <c r="D31" s="5"/>
      <c r="E31" s="5"/>
      <c r="F31" s="5"/>
      <c r="G31" s="5"/>
      <c r="H31" s="5"/>
      <c r="I31" s="6"/>
      <c r="J31" s="11"/>
      <c r="K31" s="11"/>
      <c r="L31" s="11"/>
    </row>
    <row r="32" spans="1:12">
      <c r="B32" s="3"/>
      <c r="C32" s="11">
        <f>($D$21/$D$20)^C$23</f>
        <v>0.92148291051117148</v>
      </c>
      <c r="D32" s="11">
        <f t="shared" ref="D32:I32" si="12">($D$21/$D$20)^D$23</f>
        <v>0.91465825167102799</v>
      </c>
      <c r="E32" s="11">
        <f t="shared" si="12"/>
        <v>0.90788413741261575</v>
      </c>
      <c r="F32" s="11">
        <f t="shared" si="12"/>
        <v>0.90116019339418352</v>
      </c>
      <c r="G32" s="11">
        <f t="shared" si="12"/>
        <v>0.89448604804641862</v>
      </c>
      <c r="H32" s="11">
        <f t="shared" si="12"/>
        <v>0.88786133255191346</v>
      </c>
      <c r="I32" s="15">
        <f t="shared" si="12"/>
        <v>0.90451591741122184</v>
      </c>
      <c r="J32" s="11"/>
      <c r="K32" s="11"/>
      <c r="L32" s="11"/>
    </row>
    <row r="33" spans="1:12">
      <c r="B33" s="3"/>
      <c r="C33" s="5"/>
      <c r="D33" s="5"/>
      <c r="E33" s="5"/>
      <c r="F33" s="5"/>
      <c r="G33" s="5"/>
      <c r="H33" s="5"/>
      <c r="I33" s="6"/>
      <c r="J33" s="11"/>
      <c r="K33" s="11"/>
      <c r="L33" s="11"/>
    </row>
    <row r="34" spans="1:12" ht="18">
      <c r="A34" s="8" t="s">
        <v>13</v>
      </c>
      <c r="C34" s="2" t="s">
        <v>1</v>
      </c>
      <c r="D34" s="2" t="s">
        <v>2</v>
      </c>
      <c r="I34" s="14"/>
    </row>
    <row r="35" spans="1:12">
      <c r="B35" s="1" t="s">
        <v>5</v>
      </c>
      <c r="C35" s="4">
        <v>69</v>
      </c>
      <c r="D35" s="4">
        <f>C35/$G$4</f>
        <v>21.030173727522097</v>
      </c>
      <c r="I35" s="14"/>
    </row>
    <row r="36" spans="1:12">
      <c r="B36" s="1" t="s">
        <v>4</v>
      </c>
      <c r="C36" s="4">
        <f>D36*$G$4</f>
        <v>32.81</v>
      </c>
      <c r="D36" s="4">
        <v>10</v>
      </c>
      <c r="I36" s="14"/>
    </row>
    <row r="37" spans="1:12">
      <c r="I37" s="14"/>
    </row>
    <row r="38" spans="1:12" ht="18">
      <c r="C38" s="9">
        <v>0.11</v>
      </c>
      <c r="D38" s="9">
        <v>0.12</v>
      </c>
      <c r="E38" s="9">
        <v>0.13</v>
      </c>
      <c r="F38" s="9">
        <v>0.14000000000000001</v>
      </c>
      <c r="G38" s="9">
        <v>0.15</v>
      </c>
      <c r="H38" s="9">
        <v>0.16</v>
      </c>
      <c r="I38" s="13">
        <f>AVERAGE(C38:H38)</f>
        <v>0.13500000000000001</v>
      </c>
      <c r="J38" s="2" t="s">
        <v>9</v>
      </c>
      <c r="K38" s="2" t="s">
        <v>10</v>
      </c>
      <c r="L38" s="2" t="s">
        <v>11</v>
      </c>
    </row>
    <row r="39" spans="1:12">
      <c r="B39" s="3">
        <v>5</v>
      </c>
      <c r="C39" s="5">
        <f>$B39*($D$35/$D$36)^C$38</f>
        <v>5.4260366014019343</v>
      </c>
      <c r="D39" s="5">
        <f t="shared" ref="D39:I39" si="13">$B39*($D$35/$D$36)^D$38</f>
        <v>5.4665225955872456</v>
      </c>
      <c r="E39" s="5">
        <f t="shared" si="13"/>
        <v>5.5073106731983765</v>
      </c>
      <c r="F39" s="5">
        <f t="shared" si="13"/>
        <v>5.5484030882097679</v>
      </c>
      <c r="G39" s="5">
        <f t="shared" si="13"/>
        <v>5.5898021114137375</v>
      </c>
      <c r="H39" s="5">
        <f t="shared" si="13"/>
        <v>5.6315100305459564</v>
      </c>
      <c r="I39" s="6">
        <f t="shared" si="13"/>
        <v>5.5278186970001553</v>
      </c>
      <c r="J39" s="11">
        <f>C39/B39</f>
        <v>1.0852073202803869</v>
      </c>
      <c r="K39" s="11">
        <f t="shared" ref="K39:K45" si="14">H39/B39</f>
        <v>1.1263020061091913</v>
      </c>
      <c r="L39" s="11">
        <f t="shared" ref="L39:L45" si="15">I39/B39</f>
        <v>1.1055637394000311</v>
      </c>
    </row>
    <row r="40" spans="1:12">
      <c r="B40" s="3">
        <v>10</v>
      </c>
      <c r="C40" s="5">
        <f t="shared" ref="C40:I45" si="16">$B40*($D$35/$D$36)^C$38</f>
        <v>10.852073202803869</v>
      </c>
      <c r="D40" s="5">
        <f t="shared" si="16"/>
        <v>10.933045191174491</v>
      </c>
      <c r="E40" s="5">
        <f t="shared" si="16"/>
        <v>11.014621346396753</v>
      </c>
      <c r="F40" s="5">
        <f t="shared" si="16"/>
        <v>11.096806176419536</v>
      </c>
      <c r="G40" s="5">
        <f t="shared" si="16"/>
        <v>11.179604222827475</v>
      </c>
      <c r="H40" s="5">
        <f t="shared" si="16"/>
        <v>11.263020061091913</v>
      </c>
      <c r="I40" s="6">
        <f t="shared" si="16"/>
        <v>11.055637394000311</v>
      </c>
      <c r="J40" s="11">
        <f t="shared" ref="J40:J45" si="17">C40/B40</f>
        <v>1.0852073202803869</v>
      </c>
      <c r="K40" s="11">
        <f t="shared" si="14"/>
        <v>1.1263020061091913</v>
      </c>
      <c r="L40" s="11">
        <f t="shared" si="15"/>
        <v>1.1055637394000311</v>
      </c>
    </row>
    <row r="41" spans="1:12">
      <c r="B41" s="3">
        <v>15</v>
      </c>
      <c r="C41" s="5">
        <f t="shared" si="16"/>
        <v>16.278109804205805</v>
      </c>
      <c r="D41" s="5">
        <f t="shared" si="16"/>
        <v>16.399567786761736</v>
      </c>
      <c r="E41" s="5">
        <f t="shared" si="16"/>
        <v>16.52193201959513</v>
      </c>
      <c r="F41" s="5">
        <f t="shared" si="16"/>
        <v>16.645209264629305</v>
      </c>
      <c r="G41" s="5">
        <f t="shared" si="16"/>
        <v>16.769406334241211</v>
      </c>
      <c r="H41" s="5">
        <f t="shared" si="16"/>
        <v>16.894530091637868</v>
      </c>
      <c r="I41" s="6">
        <f t="shared" si="16"/>
        <v>16.583456091000464</v>
      </c>
      <c r="J41" s="11">
        <f t="shared" si="17"/>
        <v>1.0852073202803869</v>
      </c>
      <c r="K41" s="11">
        <f t="shared" si="14"/>
        <v>1.1263020061091913</v>
      </c>
      <c r="L41" s="11">
        <f t="shared" si="15"/>
        <v>1.1055637394000308</v>
      </c>
    </row>
    <row r="42" spans="1:12">
      <c r="B42" s="3">
        <v>20</v>
      </c>
      <c r="C42" s="5">
        <f t="shared" si="16"/>
        <v>21.704146405607737</v>
      </c>
      <c r="D42" s="5">
        <f t="shared" si="16"/>
        <v>21.866090382348983</v>
      </c>
      <c r="E42" s="5">
        <f t="shared" si="16"/>
        <v>22.029242692793506</v>
      </c>
      <c r="F42" s="5">
        <f t="shared" si="16"/>
        <v>22.193612352839072</v>
      </c>
      <c r="G42" s="5">
        <f t="shared" si="16"/>
        <v>22.35920844565495</v>
      </c>
      <c r="H42" s="5">
        <f t="shared" si="16"/>
        <v>22.526040122183826</v>
      </c>
      <c r="I42" s="6">
        <f t="shared" si="16"/>
        <v>22.111274788000621</v>
      </c>
      <c r="J42" s="11">
        <f t="shared" si="17"/>
        <v>1.0852073202803869</v>
      </c>
      <c r="K42" s="11">
        <f t="shared" si="14"/>
        <v>1.1263020061091913</v>
      </c>
      <c r="L42" s="11">
        <f t="shared" si="15"/>
        <v>1.1055637394000311</v>
      </c>
    </row>
    <row r="43" spans="1:12">
      <c r="B43" s="3">
        <v>25</v>
      </c>
      <c r="C43" s="5">
        <f t="shared" si="16"/>
        <v>27.130183007009673</v>
      </c>
      <c r="D43" s="5">
        <f t="shared" si="16"/>
        <v>27.332612977936225</v>
      </c>
      <c r="E43" s="5">
        <f t="shared" si="16"/>
        <v>27.536553365991885</v>
      </c>
      <c r="F43" s="5">
        <f t="shared" si="16"/>
        <v>27.742015441048839</v>
      </c>
      <c r="G43" s="5">
        <f t="shared" si="16"/>
        <v>27.949010557068689</v>
      </c>
      <c r="H43" s="5">
        <f t="shared" si="16"/>
        <v>28.157550152729783</v>
      </c>
      <c r="I43" s="6">
        <f t="shared" si="16"/>
        <v>27.639093485000778</v>
      </c>
      <c r="J43" s="11">
        <f t="shared" si="17"/>
        <v>1.0852073202803869</v>
      </c>
      <c r="K43" s="11">
        <f t="shared" si="14"/>
        <v>1.1263020061091913</v>
      </c>
      <c r="L43" s="11">
        <f t="shared" si="15"/>
        <v>1.1055637394000311</v>
      </c>
    </row>
    <row r="44" spans="1:12">
      <c r="B44" s="3">
        <v>30</v>
      </c>
      <c r="C44" s="5">
        <f t="shared" si="16"/>
        <v>32.55621960841161</v>
      </c>
      <c r="D44" s="5">
        <f t="shared" si="16"/>
        <v>32.799135573523472</v>
      </c>
      <c r="E44" s="5">
        <f t="shared" si="16"/>
        <v>33.043864039190261</v>
      </c>
      <c r="F44" s="5">
        <f t="shared" si="16"/>
        <v>33.290418529258609</v>
      </c>
      <c r="G44" s="5">
        <f t="shared" si="16"/>
        <v>33.538812668482421</v>
      </c>
      <c r="H44" s="5">
        <f t="shared" si="16"/>
        <v>33.789060183275737</v>
      </c>
      <c r="I44" s="6">
        <f t="shared" si="16"/>
        <v>33.166912182000928</v>
      </c>
      <c r="J44" s="11">
        <f t="shared" si="17"/>
        <v>1.0852073202803869</v>
      </c>
      <c r="K44" s="11">
        <f t="shared" si="14"/>
        <v>1.1263020061091913</v>
      </c>
      <c r="L44" s="11">
        <f t="shared" si="15"/>
        <v>1.1055637394000308</v>
      </c>
    </row>
    <row r="45" spans="1:12">
      <c r="B45" s="3">
        <v>35</v>
      </c>
      <c r="C45" s="5">
        <f t="shared" si="16"/>
        <v>37.982256209813542</v>
      </c>
      <c r="D45" s="5">
        <f t="shared" si="16"/>
        <v>38.265658169110715</v>
      </c>
      <c r="E45" s="5">
        <f t="shared" si="16"/>
        <v>38.551174712388637</v>
      </c>
      <c r="F45" s="5">
        <f t="shared" si="16"/>
        <v>38.838821617468376</v>
      </c>
      <c r="G45" s="5">
        <f t="shared" si="16"/>
        <v>39.128614779896161</v>
      </c>
      <c r="H45" s="5">
        <f t="shared" si="16"/>
        <v>39.420570213821698</v>
      </c>
      <c r="I45" s="6">
        <f t="shared" si="16"/>
        <v>38.694730879001085</v>
      </c>
      <c r="J45" s="11">
        <f t="shared" si="17"/>
        <v>1.0852073202803869</v>
      </c>
      <c r="K45" s="11">
        <f t="shared" si="14"/>
        <v>1.1263020061091913</v>
      </c>
      <c r="L45" s="11">
        <f t="shared" si="15"/>
        <v>1.1055637394000311</v>
      </c>
    </row>
    <row r="46" spans="1:12">
      <c r="B46" s="3"/>
      <c r="C46" s="5"/>
      <c r="D46" s="5"/>
      <c r="E46" s="5"/>
      <c r="F46" s="5"/>
      <c r="G46" s="5"/>
      <c r="H46" s="5"/>
      <c r="I46" s="6"/>
      <c r="J46" s="11"/>
      <c r="K46" s="11"/>
      <c r="L46" s="11"/>
    </row>
    <row r="47" spans="1:12">
      <c r="B47" s="3"/>
      <c r="C47" s="11">
        <f>($D$35/$D$36)^C$38</f>
        <v>1.0852073202803869</v>
      </c>
      <c r="D47" s="11">
        <f t="shared" ref="D47:I47" si="18">($D$35/$D$36)^D$38</f>
        <v>1.0933045191174491</v>
      </c>
      <c r="E47" s="11">
        <f t="shared" si="18"/>
        <v>1.1014621346396753</v>
      </c>
      <c r="F47" s="11">
        <f t="shared" si="18"/>
        <v>1.1096806176419536</v>
      </c>
      <c r="G47" s="11">
        <f t="shared" si="18"/>
        <v>1.1179604222827475</v>
      </c>
      <c r="H47" s="11">
        <f t="shared" si="18"/>
        <v>1.1263020061091913</v>
      </c>
      <c r="I47" s="15">
        <f t="shared" si="18"/>
        <v>1.1055637394000311</v>
      </c>
      <c r="J47" s="11"/>
      <c r="K47" s="11"/>
      <c r="L47" s="11"/>
    </row>
    <row r="48" spans="1:12">
      <c r="I48" s="14"/>
      <c r="J48" s="12"/>
      <c r="K48" s="12"/>
      <c r="L48" s="12"/>
    </row>
    <row r="49" spans="1:12">
      <c r="B49" s="1"/>
      <c r="I49" s="14"/>
      <c r="J49" s="12"/>
      <c r="K49" s="12"/>
      <c r="L49" s="12"/>
    </row>
    <row r="50" spans="1:12" ht="18">
      <c r="A50" s="8" t="s">
        <v>6</v>
      </c>
      <c r="C50" s="2" t="s">
        <v>1</v>
      </c>
      <c r="D50" s="2" t="s">
        <v>2</v>
      </c>
      <c r="J50" s="12"/>
      <c r="K50" s="12"/>
      <c r="L50" s="12"/>
    </row>
    <row r="51" spans="1:12">
      <c r="B51" s="1" t="s">
        <v>4</v>
      </c>
      <c r="C51" s="4">
        <f>D51*$G$4</f>
        <v>32.81</v>
      </c>
      <c r="D51" s="4">
        <v>10</v>
      </c>
      <c r="J51" s="12"/>
      <c r="K51" s="12"/>
      <c r="L51" s="12"/>
    </row>
    <row r="52" spans="1:12">
      <c r="B52" s="1" t="s">
        <v>0</v>
      </c>
      <c r="C52" s="4">
        <f>C5</f>
        <v>6.5620000000000003</v>
      </c>
      <c r="D52" s="4">
        <f>C52/$G$4</f>
        <v>2</v>
      </c>
      <c r="J52" s="12"/>
      <c r="K52" s="12"/>
      <c r="L52" s="12"/>
    </row>
    <row r="53" spans="1:12">
      <c r="C53" s="7"/>
      <c r="D53" s="7"/>
      <c r="J53" s="12"/>
      <c r="K53" s="12"/>
      <c r="L53" s="12"/>
    </row>
    <row r="54" spans="1:12" ht="18">
      <c r="C54" s="9">
        <v>0.11</v>
      </c>
      <c r="D54" s="9">
        <v>0.12</v>
      </c>
      <c r="E54" s="9">
        <v>0.13</v>
      </c>
      <c r="F54" s="9">
        <v>0.14000000000000001</v>
      </c>
      <c r="G54" s="9">
        <v>0.15</v>
      </c>
      <c r="H54" s="9">
        <v>0.16</v>
      </c>
      <c r="I54" s="10">
        <f>AVERAGE(C54:H54)</f>
        <v>0.13500000000000001</v>
      </c>
      <c r="J54" s="2" t="s">
        <v>9</v>
      </c>
      <c r="K54" s="2" t="s">
        <v>10</v>
      </c>
      <c r="L54" s="2" t="s">
        <v>11</v>
      </c>
    </row>
    <row r="55" spans="1:12">
      <c r="B55" s="3">
        <v>5</v>
      </c>
      <c r="C55" s="5">
        <f>$B55*($D$52/$D$51)^C$54</f>
        <v>4.188739033854147</v>
      </c>
      <c r="D55" s="5">
        <f t="shared" ref="D55:I61" si="19">$B55*($D$52/$D$51)^D$54</f>
        <v>4.1218634835734527</v>
      </c>
      <c r="E55" s="5">
        <f t="shared" si="19"/>
        <v>4.056055638678365</v>
      </c>
      <c r="F55" s="5">
        <f t="shared" si="19"/>
        <v>3.9912984526580781</v>
      </c>
      <c r="G55" s="5">
        <f t="shared" si="19"/>
        <v>3.9275751511588219</v>
      </c>
      <c r="H55" s="5">
        <f t="shared" si="19"/>
        <v>3.8648692276387191</v>
      </c>
      <c r="I55" s="6">
        <f>$B55*($D$52/$D$51)^I$54</f>
        <v>4.0235467680334018</v>
      </c>
      <c r="J55" s="11">
        <f>C55/B55</f>
        <v>0.83774780677082938</v>
      </c>
      <c r="K55" s="11">
        <f t="shared" ref="K55:K61" si="20">H55/B55</f>
        <v>0.77297384552774384</v>
      </c>
      <c r="L55" s="11">
        <f t="shared" ref="L55:L61" si="21">I55/B55</f>
        <v>0.80470935360668039</v>
      </c>
    </row>
    <row r="56" spans="1:12">
      <c r="B56" s="3">
        <v>10</v>
      </c>
      <c r="C56" s="5">
        <f t="shared" ref="C56:C61" si="22">$B56*($D$52/$D$51)^C$54</f>
        <v>8.3774780677082941</v>
      </c>
      <c r="D56" s="5">
        <f t="shared" si="19"/>
        <v>8.2437269671469053</v>
      </c>
      <c r="E56" s="5">
        <f t="shared" si="19"/>
        <v>8.1121112773567301</v>
      </c>
      <c r="F56" s="5">
        <f t="shared" si="19"/>
        <v>7.9825969053161563</v>
      </c>
      <c r="G56" s="5">
        <f t="shared" si="19"/>
        <v>7.8551503023176439</v>
      </c>
      <c r="H56" s="5">
        <f t="shared" si="19"/>
        <v>7.7297384552774382</v>
      </c>
      <c r="I56" s="6">
        <f t="shared" si="19"/>
        <v>8.0470935360668037</v>
      </c>
      <c r="J56" s="11">
        <f t="shared" ref="J56:J61" si="23">C56/B56</f>
        <v>0.83774780677082938</v>
      </c>
      <c r="K56" s="11">
        <f t="shared" si="20"/>
        <v>0.77297384552774384</v>
      </c>
      <c r="L56" s="11">
        <f t="shared" si="21"/>
        <v>0.80470935360668039</v>
      </c>
    </row>
    <row r="57" spans="1:12">
      <c r="B57" s="3">
        <v>15</v>
      </c>
      <c r="C57" s="5">
        <f t="shared" si="22"/>
        <v>12.56621710156244</v>
      </c>
      <c r="D57" s="5">
        <f t="shared" si="19"/>
        <v>12.36559045072036</v>
      </c>
      <c r="E57" s="5">
        <f t="shared" si="19"/>
        <v>12.168166916035094</v>
      </c>
      <c r="F57" s="5">
        <f t="shared" si="19"/>
        <v>11.973895357974234</v>
      </c>
      <c r="G57" s="5">
        <f t="shared" si="19"/>
        <v>11.782725453476466</v>
      </c>
      <c r="H57" s="5">
        <f t="shared" si="19"/>
        <v>11.594607682916157</v>
      </c>
      <c r="I57" s="6">
        <f t="shared" si="19"/>
        <v>12.070640304100204</v>
      </c>
      <c r="J57" s="11">
        <f t="shared" si="23"/>
        <v>0.83774780677082938</v>
      </c>
      <c r="K57" s="11">
        <f t="shared" si="20"/>
        <v>0.77297384552774384</v>
      </c>
      <c r="L57" s="11">
        <f t="shared" si="21"/>
        <v>0.80470935360668028</v>
      </c>
    </row>
    <row r="58" spans="1:12">
      <c r="B58" s="3">
        <v>20</v>
      </c>
      <c r="C58" s="5">
        <f t="shared" si="22"/>
        <v>16.754956135416588</v>
      </c>
      <c r="D58" s="5">
        <f t="shared" si="19"/>
        <v>16.487453934293811</v>
      </c>
      <c r="E58" s="5">
        <f t="shared" si="19"/>
        <v>16.22422255471346</v>
      </c>
      <c r="F58" s="5">
        <f t="shared" si="19"/>
        <v>15.965193810632313</v>
      </c>
      <c r="G58" s="5">
        <f t="shared" si="19"/>
        <v>15.710300604635288</v>
      </c>
      <c r="H58" s="5">
        <f t="shared" si="19"/>
        <v>15.459476910554876</v>
      </c>
      <c r="I58" s="6">
        <f t="shared" si="19"/>
        <v>16.094187072133607</v>
      </c>
      <c r="J58" s="11">
        <f t="shared" si="23"/>
        <v>0.83774780677082938</v>
      </c>
      <c r="K58" s="11">
        <f t="shared" si="20"/>
        <v>0.77297384552774384</v>
      </c>
      <c r="L58" s="11">
        <f t="shared" si="21"/>
        <v>0.80470935360668039</v>
      </c>
    </row>
    <row r="59" spans="1:12">
      <c r="B59" s="3">
        <v>25</v>
      </c>
      <c r="C59" s="5">
        <f t="shared" si="22"/>
        <v>20.943695169270736</v>
      </c>
      <c r="D59" s="5">
        <f t="shared" si="19"/>
        <v>20.609317417867263</v>
      </c>
      <c r="E59" s="5">
        <f t="shared" si="19"/>
        <v>20.280278193391823</v>
      </c>
      <c r="F59" s="5">
        <f t="shared" si="19"/>
        <v>19.956492263290389</v>
      </c>
      <c r="G59" s="5">
        <f t="shared" si="19"/>
        <v>19.637875755794109</v>
      </c>
      <c r="H59" s="5">
        <f t="shared" si="19"/>
        <v>19.324346138193597</v>
      </c>
      <c r="I59" s="6">
        <f t="shared" si="19"/>
        <v>20.117733840167006</v>
      </c>
      <c r="J59" s="11">
        <f t="shared" si="23"/>
        <v>0.8377478067708295</v>
      </c>
      <c r="K59" s="11">
        <f t="shared" si="20"/>
        <v>0.77297384552774384</v>
      </c>
      <c r="L59" s="11">
        <f t="shared" si="21"/>
        <v>0.80470935360668028</v>
      </c>
    </row>
    <row r="60" spans="1:12">
      <c r="B60" s="3">
        <v>30</v>
      </c>
      <c r="C60" s="5">
        <f t="shared" si="22"/>
        <v>25.13243420312488</v>
      </c>
      <c r="D60" s="5">
        <f t="shared" si="19"/>
        <v>24.73118090144072</v>
      </c>
      <c r="E60" s="5">
        <f t="shared" si="19"/>
        <v>24.336333832070189</v>
      </c>
      <c r="F60" s="5">
        <f t="shared" si="19"/>
        <v>23.947790715948468</v>
      </c>
      <c r="G60" s="5">
        <f t="shared" si="19"/>
        <v>23.565450906952933</v>
      </c>
      <c r="H60" s="5">
        <f t="shared" si="19"/>
        <v>23.189215365832315</v>
      </c>
      <c r="I60" s="6">
        <f t="shared" si="19"/>
        <v>24.141280608200407</v>
      </c>
      <c r="J60" s="11">
        <f t="shared" si="23"/>
        <v>0.83774780677082938</v>
      </c>
      <c r="K60" s="11">
        <f t="shared" si="20"/>
        <v>0.77297384552774384</v>
      </c>
      <c r="L60" s="11">
        <f t="shared" si="21"/>
        <v>0.80470935360668028</v>
      </c>
    </row>
    <row r="61" spans="1:12">
      <c r="B61" s="3">
        <v>35</v>
      </c>
      <c r="C61" s="5">
        <f t="shared" si="22"/>
        <v>29.321173236979028</v>
      </c>
      <c r="D61" s="5">
        <f t="shared" si="19"/>
        <v>28.853044385014172</v>
      </c>
      <c r="E61" s="5">
        <f t="shared" si="19"/>
        <v>28.392389470748554</v>
      </c>
      <c r="F61" s="5">
        <f t="shared" si="19"/>
        <v>27.939089168606547</v>
      </c>
      <c r="G61" s="5">
        <f t="shared" si="19"/>
        <v>27.493026058111752</v>
      </c>
      <c r="H61" s="5">
        <f t="shared" si="19"/>
        <v>27.054084593471035</v>
      </c>
      <c r="I61" s="6">
        <f t="shared" si="19"/>
        <v>28.164827376233809</v>
      </c>
      <c r="J61" s="11">
        <f t="shared" si="23"/>
        <v>0.83774780677082938</v>
      </c>
      <c r="K61" s="11">
        <f t="shared" si="20"/>
        <v>0.77297384552774384</v>
      </c>
      <c r="L61" s="11">
        <f t="shared" si="21"/>
        <v>0.80470935360668028</v>
      </c>
    </row>
    <row r="63" spans="1:12">
      <c r="C63" s="11">
        <f>($D$52/$D$51)^C$54</f>
        <v>0.83774780677082938</v>
      </c>
      <c r="D63" s="11">
        <f t="shared" ref="D63:I63" si="24">($D$52/$D$51)^D$54</f>
        <v>0.8243726967146906</v>
      </c>
      <c r="E63" s="11">
        <f t="shared" si="24"/>
        <v>0.81121112773567294</v>
      </c>
      <c r="F63" s="11">
        <f t="shared" si="24"/>
        <v>0.79825969053161561</v>
      </c>
      <c r="G63" s="11">
        <f t="shared" si="24"/>
        <v>0.78551503023176439</v>
      </c>
      <c r="H63" s="11">
        <f t="shared" si="24"/>
        <v>0.77297384552774384</v>
      </c>
      <c r="I63" s="15">
        <f t="shared" si="24"/>
        <v>0.80470935360668028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Vorobyov</dc:creator>
  <cp:lastModifiedBy>Vadim Vorobyov</cp:lastModifiedBy>
  <dcterms:created xsi:type="dcterms:W3CDTF">2026-03-28T16:53:09Z</dcterms:created>
  <dcterms:modified xsi:type="dcterms:W3CDTF">2026-04-25T02:56:12Z</dcterms:modified>
</cp:coreProperties>
</file>